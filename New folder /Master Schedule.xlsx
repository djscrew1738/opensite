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11725" sheetId="1" r:id="rId3"/>
    <sheet state="visible" name="WEEK 112425" sheetId="2" r:id="rId4"/>
    <sheet state="visible" name="WEEK 12125" sheetId="3" r:id="rId5"/>
    <sheet state="visible" name="WEEK 12825" sheetId="4" r:id="rId6"/>
  </sheets>
  <definedNames/>
  <calcPr/>
</workbook>
</file>

<file path=xl/sharedStrings.xml><?xml version="1.0" encoding="utf-8"?>
<sst xmlns="http://schemas.openxmlformats.org/spreadsheetml/2006/main" count="98" uniqueCount="51">
  <si>
    <t xml:space="preserve">  </t>
  </si>
  <si>
    <t xml:space="preserve">
DAILY SCHEDULE</t>
  </si>
  <si>
    <t xml:space="preserve">Week of:
</t>
  </si>
  <si>
    <t>Everado:</t>
  </si>
  <si>
    <t>790 COUNTY ROAD 2480 HICO TX (GATE CODE:1982) STAINED CONCRETE</t>
  </si>
  <si>
    <t>Rescheduled 6165 Tyrone Dr, Dallas-in city limits</t>
  </si>
  <si>
    <t>806 West Main st, honey grove (in city limits)</t>
  </si>
  <si>
    <t>Lamberto:</t>
  </si>
  <si>
    <t>Thomas:</t>
  </si>
  <si>
    <t xml:space="preserve">thomas off </t>
  </si>
  <si>
    <r>
      <rPr>
        <color rgb="FF000000"/>
      </rPr>
      <t>803 FM 1637 VALLEY MILLS TX</t>
    </r>
    <r>
      <rPr>
        <color rgb="FFFF0000"/>
      </rPr>
      <t xml:space="preserve"> (GATE CODE:2429#) </t>
    </r>
    <r>
      <rPr>
        <color rgb="FFFF00FF"/>
      </rPr>
      <t>DAD IS MASTER PLUMBER-trim</t>
    </r>
  </si>
  <si>
    <t xml:space="preserve">8421 CR 308 GRANDVIEW TX-INSTALL KITCHEN FIXTURE NOW THAT COUNTERTOP HAS BEEN INSTALLED, INSTALL PRV AND EXPANSION TANK(already invoiced) also installl fireplace key and escucheon. </t>
  </si>
  <si>
    <t>1752 FM 489 OAKWOOD-trim</t>
  </si>
  <si>
    <t>803 FM 1637 valley mills finish tub and add. Prv and expansion tank (everything is already delivered to jobsite</t>
  </si>
  <si>
    <t xml:space="preserve">Tilson Warranty 1561 County Road 215 Bertram   Call or Text Mitchell (512)944-5732 when on your way  Master shower faucet handle is pulling away from the wall </t>
  </si>
  <si>
    <t>163 Canal St Corsicana - Trim Tub in our shop</t>
  </si>
  <si>
    <t xml:space="preserve">104 West Senterfeit St Lometa STAINED CONCRETE "IN CITY LIMITS"-Master Bathroom toilet is not flushing well, probably needs snaked
-Master Bathroom left hand vanity sink stopper not holding water
-Bath 2 sink stopper not holding water
-Bath 3 faucet head is loose
</t>
  </si>
  <si>
    <t xml:space="preserve">2491 CR 3270 KEMPNER TX (GATE CODE:2025)-Master Bathroom vanity faucets are loose
-Water heater drain lines are too short
-Please leave another water shut off box so I can add it once grading is brought up
</t>
  </si>
  <si>
    <t>Juan:</t>
  </si>
  <si>
    <t>Terry :</t>
  </si>
  <si>
    <t xml:space="preserve">610 S 28th St corsicana - Rough </t>
  </si>
  <si>
    <t xml:space="preserve">790 COUNTY ROAD 2480 HICO TX (GATE CODE:1982) STAINED CONCRETE-ROUGH </t>
  </si>
  <si>
    <t>Rescheduled 6165 Tyrone Dr, Dallas-rough in city limits</t>
  </si>
  <si>
    <t>Jorge</t>
  </si>
  <si>
    <t>4005 Rolling Wood, midltohain-topout</t>
  </si>
  <si>
    <r>
      <rPr>
        <rFont val="Roboto"/>
        <b/>
        <color rgb="FF000000"/>
        <sz val="10.0"/>
      </rPr>
      <t>Cory</t>
    </r>
    <r>
      <rPr>
        <rFont val="Roboto"/>
        <color rgb="FF000000"/>
        <sz val="10.0"/>
      </rPr>
      <t>:</t>
    </r>
  </si>
  <si>
    <t>833 CLEAR COVE COURT N, GRAFORD (GATE CODE;71090)- TOPOUT NO GAS Waterline at utility is out of wall, Master toilet vent sightly out of wall,master shower vent pipe slightly out of wall (exterior side)</t>
  </si>
  <si>
    <t>806 West Main st, honey grove-rough (in city limits)</t>
  </si>
  <si>
    <t>409 BLUE CUT RD SOUTH MOODY TX -topout NO GAS</t>
  </si>
  <si>
    <t>6165 Tyrone Dr, Dallas-in city limits</t>
  </si>
  <si>
    <t>HOLIDAY</t>
  </si>
  <si>
    <t>2751 E STATE HWY 34 ENNIS-Trim</t>
  </si>
  <si>
    <t>701 Knox, Ennis-trim</t>
  </si>
  <si>
    <t xml:space="preserve">Thomas finish 163 canal st Corsicana </t>
  </si>
  <si>
    <t>4005 Rolling Wood, midltohain- 3 hvac, 2 tankless, dryer, fireplace, incoming</t>
  </si>
  <si>
    <t>6165 Tyrone Dr, Dallas-rough in city limits</t>
  </si>
  <si>
    <r>
      <rPr>
        <rFont val="Roboto"/>
        <b/>
        <color rgb="FF000000"/>
        <sz val="10.0"/>
      </rPr>
      <t>Jorge</t>
    </r>
    <r>
      <rPr>
        <rFont val="Roboto"/>
        <b/>
        <color rgb="FF434343"/>
        <sz val="10.0"/>
      </rPr>
      <t>:</t>
    </r>
  </si>
  <si>
    <r>
      <rPr>
        <rFont val="Roboto"/>
        <b/>
        <color rgb="FF000000"/>
        <sz val="10.0"/>
      </rPr>
      <t>Cory</t>
    </r>
    <r>
      <rPr>
        <rFont val="Roboto"/>
        <color rgb="FF000000"/>
        <sz val="10.0"/>
      </rPr>
      <t>:</t>
    </r>
  </si>
  <si>
    <t>6440 Mulberry, Midlothian-topout</t>
  </si>
  <si>
    <t>150 WOODLAKE LANE AXTELL TX (1-1/4 waterline)-topout</t>
  </si>
  <si>
    <r>
      <rPr>
        <color rgb="FF000000"/>
      </rPr>
      <t xml:space="preserve">431 BROWN COUTNTY ROAD 175 BANGS TX </t>
    </r>
    <r>
      <rPr>
        <color rgb="FFFF0000"/>
      </rPr>
      <t xml:space="preserve">(GATE CODE :3825) STAINED CONCRETE </t>
    </r>
  </si>
  <si>
    <t>13685 REEDS LAKE LOOP ROGERS TX-TRIM</t>
  </si>
  <si>
    <r>
      <rPr>
        <rFont val="Roboto"/>
        <b/>
        <color rgb="FF000000"/>
        <sz val="10.0"/>
      </rPr>
      <t>Jorge</t>
    </r>
    <r>
      <rPr>
        <rFont val="Roboto"/>
        <b/>
        <color rgb="FF434343"/>
        <sz val="10.0"/>
      </rPr>
      <t>:</t>
    </r>
  </si>
  <si>
    <r>
      <rPr>
        <rFont val="Roboto"/>
        <b/>
        <color rgb="FF000000"/>
        <sz val="10.0"/>
      </rPr>
      <t>Cory</t>
    </r>
    <r>
      <rPr>
        <rFont val="Roboto"/>
        <color rgb="FF000000"/>
        <sz val="10.0"/>
      </rPr>
      <t>:</t>
    </r>
  </si>
  <si>
    <t>13 SPORTSMAN DRIVE MINERAL WELLS TX (1 1/4 waterline)-topout</t>
  </si>
  <si>
    <t>472 ROYAL SANTANA RUN WEATHERFORD TX Waterline is 1 1/4 -topout</t>
  </si>
  <si>
    <t>714 W Avenue I, midlothian  topout Plumbing</t>
  </si>
  <si>
    <t>1797 A FM 202 GLEN ROSE TX -topout (already asked corey and he wants this day</t>
  </si>
  <si>
    <t>400 GABRIEL FOREST RD GEORGETOWN TX-TRIM</t>
  </si>
  <si>
    <r>
      <rPr>
        <rFont val="Roboto"/>
        <b/>
        <color rgb="FF000000"/>
        <sz val="10.0"/>
      </rPr>
      <t>Jorge</t>
    </r>
    <r>
      <rPr>
        <rFont val="Roboto"/>
        <b/>
        <color rgb="FF434343"/>
        <sz val="10.0"/>
      </rPr>
      <t>:</t>
    </r>
  </si>
  <si>
    <r>
      <rPr>
        <rFont val="Roboto"/>
        <b/>
        <color rgb="FF000000"/>
        <sz val="10.0"/>
      </rPr>
      <t>Cory</t>
    </r>
    <r>
      <rPr>
        <rFont val="Roboto"/>
        <color rgb="FF000000"/>
        <sz val="10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</si>
</sst>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"/>
    <numFmt numFmtId="165" formatCode="m&quot;/&quot;d"/>
    <numFmt numFmtId="166" formatCode="h&quot;:&quot;mm&quot; &quot;am/pm&quot; &quot;"/>
    <numFmt numFmtId="167" formatCode="h:mm am/pm"/>
  </numFmts>
  <fonts count="25">
    <font>
      <sz val="10.0"/>
      <color rgb="FF000000"/>
      <name val="Arial"/>
    </font>
    <font>
      <sz val="10.0"/>
      <color rgb="FFFFFFFF"/>
      <name val="Roboto"/>
    </font>
    <font>
      <sz val="23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b/>
      <sz val="10.0"/>
      <color rgb="FF000000"/>
      <name val="Roboto"/>
    </font>
    <font>
      <color rgb="FF1F1F1F"/>
      <name val="&quot;Google Sans&quot;"/>
    </font>
    <font>
      <name val="Arial"/>
    </font>
    <font>
      <color rgb="FF000000"/>
      <name val="Arial"/>
    </font>
    <font>
      <sz val="10.0"/>
      <color rgb="FF555555"/>
      <name val="Roboto"/>
    </font>
    <font>
      <sz val="10.0"/>
      <color rgb="FF555555"/>
      <name val="Arial"/>
    </font>
    <font>
      <color/>
      <name val="Arial"/>
    </font>
    <font>
      <color rgb="FF000000"/>
    </font>
    <font>
      <sz val="10.0"/>
      <name val="Arial"/>
    </font>
    <font>
      <sz val="10.0"/>
      <color rgb="FF1E1919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  <font>
      <sz val="0.0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8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3F3F3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5" fillId="2" fontId="5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vertical="center"/>
    </xf>
    <xf borderId="6" fillId="2" fontId="11" numFmtId="0" xfId="0" applyAlignment="1" applyBorder="1" applyFont="1">
      <alignment horizontal="right" readingOrder="0" shrinkToFit="0" vertical="center" wrapText="1"/>
    </xf>
    <xf borderId="6" fillId="0" fontId="12" numFmtId="0" xfId="0" applyAlignment="1" applyBorder="1" applyFont="1">
      <alignment readingOrder="0" shrinkToFit="0" wrapText="1"/>
    </xf>
    <xf borderId="6" fillId="0" fontId="13" numFmtId="0" xfId="0" applyAlignment="1" applyBorder="1" applyFont="1">
      <alignment readingOrder="0" shrinkToFit="0" wrapText="1"/>
    </xf>
    <xf borderId="6" fillId="0" fontId="14" numFmtId="0" xfId="0" applyAlignment="1" applyBorder="1" applyFont="1">
      <alignment horizontal="left" readingOrder="0"/>
    </xf>
    <xf borderId="6" fillId="0" fontId="15" numFmtId="0" xfId="0" applyAlignment="1" applyBorder="1" applyFont="1">
      <alignment shrinkToFit="0" vertical="center" wrapText="1"/>
    </xf>
    <xf borderId="6" fillId="3" fontId="15" numFmtId="0" xfId="0" applyAlignment="1" applyBorder="1" applyFill="1" applyFont="1">
      <alignment shrinkToFit="0" vertical="center" wrapText="1"/>
    </xf>
    <xf borderId="0" fillId="0" fontId="15" numFmtId="0" xfId="0" applyAlignment="1" applyFont="1">
      <alignment vertical="center"/>
    </xf>
    <xf borderId="6" fillId="0" fontId="8" numFmtId="166" xfId="0" applyAlignment="1" applyBorder="1" applyFont="1" applyNumberFormat="1">
      <alignment horizontal="right" readingOrder="0" shrinkToFit="0" vertical="center" wrapText="1"/>
    </xf>
    <xf borderId="6" fillId="0" fontId="14" numFmtId="0" xfId="0" applyAlignment="1" applyBorder="1" applyFont="1">
      <alignment horizontal="left" readingOrder="0" shrinkToFit="0" wrapText="1"/>
    </xf>
    <xf borderId="6" fillId="0" fontId="13" numFmtId="0" xfId="0" applyBorder="1" applyFont="1"/>
    <xf borderId="6" fillId="0" fontId="16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horizontal="right" readingOrder="0" shrinkToFit="0" vertical="center" wrapText="1"/>
    </xf>
    <xf borderId="6" fillId="0" fontId="17" numFmtId="0" xfId="0" applyAlignment="1" applyBorder="1" applyFont="1">
      <alignment readingOrder="0" shrinkToFit="0" wrapText="1"/>
    </xf>
    <xf borderId="6" fillId="0" fontId="15" numFmtId="0" xfId="0" applyAlignment="1" applyBorder="1" applyFont="1">
      <alignment readingOrder="0" shrinkToFit="0" vertical="center" wrapText="1"/>
    </xf>
    <xf borderId="6" fillId="0" fontId="3" numFmtId="0" xfId="0" applyBorder="1" applyFont="1"/>
    <xf borderId="6" fillId="0" fontId="3" numFmtId="0" xfId="0" applyAlignment="1" applyBorder="1" applyFont="1">
      <alignment horizontal="left" readingOrder="0" shrinkToFit="0" wrapText="1"/>
    </xf>
    <xf borderId="6" fillId="0" fontId="18" numFmtId="0" xfId="0" applyAlignment="1" applyBorder="1" applyFont="1">
      <alignment horizontal="left" readingOrder="0" shrinkToFit="0" wrapText="1"/>
    </xf>
    <xf borderId="6" fillId="0" fontId="13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4" fontId="18" numFmtId="0" xfId="0" applyAlignment="1" applyFill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6" fillId="4" fontId="18" numFmtId="0" xfId="0" applyAlignment="1" applyBorder="1" applyFont="1">
      <alignment horizontal="left" readingOrder="0" shrinkToFit="0" wrapText="1"/>
    </xf>
    <xf borderId="6" fillId="0" fontId="3" numFmtId="0" xfId="0" applyAlignment="1" applyBorder="1" applyFont="1">
      <alignment readingOrder="0" shrinkToFit="0" wrapText="1"/>
    </xf>
    <xf borderId="0" fillId="5" fontId="15" numFmtId="0" xfId="0" applyAlignment="1" applyFill="1" applyFont="1">
      <alignment vertical="center"/>
    </xf>
    <xf borderId="6" fillId="3" fontId="8" numFmtId="166" xfId="0" applyAlignment="1" applyBorder="1" applyFont="1" applyNumberFormat="1">
      <alignment horizontal="right" readingOrder="0" shrinkToFit="0" vertical="center" wrapText="1"/>
    </xf>
    <xf borderId="6" fillId="0" fontId="14" numFmtId="0" xfId="0" applyAlignment="1" applyBorder="1" applyFont="1">
      <alignment readingOrder="0" shrinkToFit="0" vertical="bottom" wrapText="1"/>
    </xf>
    <xf borderId="6" fillId="0" fontId="14" numFmtId="0" xfId="0" applyAlignment="1" applyBorder="1" applyFont="1">
      <alignment readingOrder="0" shrinkToFit="0" wrapText="1"/>
    </xf>
    <xf borderId="6" fillId="4" fontId="19" numFmtId="0" xfId="0" applyAlignment="1" applyBorder="1" applyFont="1">
      <alignment horizontal="left" readingOrder="0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6" fillId="0" fontId="11" numFmtId="0" xfId="0" applyAlignment="1" applyBorder="1" applyFont="1">
      <alignment horizontal="right" readingOrder="0" shrinkToFit="0" vertical="center" wrapText="1"/>
    </xf>
    <xf borderId="6" fillId="0" fontId="13" numFmtId="0" xfId="0" applyAlignment="1" applyBorder="1" applyFont="1">
      <alignment horizontal="left" readingOrder="0" shrinkToFit="0" wrapText="1"/>
    </xf>
    <xf borderId="0" fillId="5" fontId="20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shrinkToFit="0" vertical="center" wrapText="1"/>
    </xf>
    <xf borderId="0" fillId="0" fontId="14" numFmtId="0" xfId="0" applyAlignment="1" applyFont="1">
      <alignment horizontal="left" readingOrder="0" shrinkToFit="0" vertical="bottom" wrapText="1"/>
    </xf>
    <xf borderId="6" fillId="0" fontId="19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4" fontId="14" numFmtId="0" xfId="0" applyAlignment="1" applyBorder="1" applyFont="1">
      <alignment horizontal="left" readingOrder="0" shrinkToFit="0" vertical="bottom" wrapText="1"/>
    </xf>
    <xf borderId="6" fillId="4" fontId="3" numFmtId="0" xfId="0" applyAlignment="1" applyBorder="1" applyFont="1">
      <alignment readingOrder="0" shrinkToFit="0" wrapText="1"/>
    </xf>
    <xf borderId="6" fillId="6" fontId="3" numFmtId="0" xfId="0" applyAlignment="1" applyBorder="1" applyFill="1" applyFont="1">
      <alignment readingOrder="0" shrinkToFit="0" wrapText="1"/>
    </xf>
    <xf borderId="6" fillId="0" fontId="8" numFmtId="0" xfId="0" applyAlignment="1" applyBorder="1" applyFont="1">
      <alignment horizontal="right" readingOrder="0" shrinkToFit="0" vertical="center" wrapText="1"/>
    </xf>
    <xf borderId="6" fillId="0" fontId="8" numFmtId="0" xfId="0" applyAlignment="1" applyBorder="1" applyFont="1">
      <alignment horizontal="right" readingOrder="0" shrinkToFit="0" vertical="center" wrapText="1"/>
    </xf>
    <xf borderId="6" fillId="4" fontId="16" numFmtId="0" xfId="0" applyAlignment="1" applyBorder="1" applyFont="1">
      <alignment readingOrder="0" shrinkToFit="0" vertical="center" wrapText="1"/>
    </xf>
    <xf borderId="6" fillId="2" fontId="8" numFmtId="0" xfId="0" applyAlignment="1" applyBorder="1" applyFont="1">
      <alignment horizontal="right" readingOrder="0" shrinkToFit="0" vertical="center" wrapText="1"/>
    </xf>
    <xf borderId="6" fillId="4" fontId="13" numFmtId="0" xfId="0" applyAlignment="1" applyBorder="1" applyFont="1">
      <alignment readingOrder="0" shrinkToFit="0" wrapText="1"/>
    </xf>
    <xf borderId="6" fillId="4" fontId="14" numFmtId="0" xfId="0" applyAlignment="1" applyBorder="1" applyFont="1">
      <alignment horizontal="left" readingOrder="0" shrinkToFit="0" wrapText="1"/>
    </xf>
    <xf borderId="0" fillId="0" fontId="15" numFmtId="166" xfId="0" applyAlignment="1" applyFont="1" applyNumberFormat="1">
      <alignment horizontal="right" shrinkToFit="0" vertical="center" wrapText="1"/>
    </xf>
    <xf borderId="0" fillId="0" fontId="21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left" shrinkToFit="0" vertical="bottom" wrapText="1"/>
    </xf>
    <xf borderId="0" fillId="0" fontId="8" numFmtId="167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7" xfId="0" applyAlignment="1" applyFont="1" applyNumberFormat="1">
      <alignment shrinkToFit="0" vertical="center" wrapText="1"/>
    </xf>
    <xf borderId="0" fillId="0" fontId="24" numFmtId="0" xfId="0" applyAlignment="1" applyFont="1">
      <alignment vertical="bottom"/>
    </xf>
    <xf borderId="6" fillId="6" fontId="14" numFmtId="0" xfId="0" applyAlignment="1" applyBorder="1" applyFont="1">
      <alignment horizontal="left" readingOrder="0" shrinkToFit="0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6" fontId="13" numFmtId="0" xfId="0" applyAlignment="1" applyBorder="1" applyFont="1">
      <alignment readingOrder="0" shrinkToFit="0" wrapText="1"/>
    </xf>
    <xf borderId="6" fillId="6" fontId="14" numFmtId="0" xfId="0" applyAlignment="1" applyBorder="1" applyFont="1">
      <alignment horizontal="left" readingOrder="0" shrinkToFit="0" vertical="bottom" wrapText="1"/>
    </xf>
    <xf borderId="0" fillId="6" fontId="18" numFmtId="0" xfId="0" applyAlignment="1" applyFont="1">
      <alignment horizontal="left" readingOrder="0" shrinkToFit="0" wrapText="1"/>
    </xf>
    <xf borderId="6" fillId="0" fontId="19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wrapText="1"/>
    </xf>
    <xf borderId="6" fillId="6" fontId="18" numFmtId="0" xfId="0" applyAlignment="1" applyBorder="1" applyFont="1">
      <alignment horizontal="left" readingOrder="0" shrinkToFit="0" wrapText="1"/>
    </xf>
    <xf borderId="6" fillId="5" fontId="20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WEEK 111725-style">
      <tableStyleElement dxfId="1" type="firstRowStripe"/>
      <tableStyleElement dxfId="2" type="secondRowStripe"/>
    </tableStyle>
    <tableStyle count="2" pivot="0" name="WEEK 112425-style">
      <tableStyleElement dxfId="1" type="firstRowStripe"/>
      <tableStyleElement dxfId="2" type="secondRowStripe"/>
    </tableStyle>
    <tableStyle count="2" pivot="0" name="WEEK 12125-style">
      <tableStyleElement dxfId="1" type="firstRowStripe"/>
      <tableStyleElement dxfId="2" type="secondRowStripe"/>
    </tableStyle>
    <tableStyle count="2" pivot="0" name="WEEK 1282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I1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EK 111725-style" showColumnStripes="0" showFirstColumn="1" showLastColumn="1" showRowStripes="1"/>
</table>
</file>

<file path=xl/tables/table2.xml><?xml version="1.0" encoding="utf-8"?>
<table xmlns="http://schemas.openxmlformats.org/spreadsheetml/2006/main" headerRowCount="0" ref="B5:I18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EK 112425-style" showColumnStripes="0" showFirstColumn="1" showLastColumn="1" showRowStripes="1"/>
</table>
</file>

<file path=xl/tables/table3.xml><?xml version="1.0" encoding="utf-8"?>
<table xmlns="http://schemas.openxmlformats.org/spreadsheetml/2006/main" headerRowCount="0" ref="B5:I1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EK 12125-style" showColumnStripes="0" showFirstColumn="1" showLastColumn="1" showRowStripes="1"/>
</table>
</file>

<file path=xl/tables/table4.xml><?xml version="1.0" encoding="utf-8"?>
<table xmlns="http://schemas.openxmlformats.org/spreadsheetml/2006/main" headerRowCount="0" ref="B5:I1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EEK 12825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8.88"/>
    <col customWidth="1" min="3" max="9" width="18.88"/>
    <col customWidth="1" min="10" max="10" width="2.63"/>
  </cols>
  <sheetData>
    <row r="1" ht="27.7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2</v>
      </c>
      <c r="C2" s="8">
        <v>45978.0</v>
      </c>
      <c r="D2" s="9"/>
      <c r="E2" s="10"/>
      <c r="J2" s="11"/>
    </row>
    <row r="3" ht="20.25" customHeight="1">
      <c r="A3" s="12"/>
      <c r="B3" s="12"/>
      <c r="C3" s="13">
        <f>C2</f>
        <v>45978</v>
      </c>
      <c r="D3" s="14">
        <f>C2+1</f>
        <v>45979</v>
      </c>
      <c r="E3" s="14">
        <f>C2+2</f>
        <v>45980</v>
      </c>
      <c r="F3" s="14">
        <f>C2+3</f>
        <v>45981</v>
      </c>
      <c r="G3" s="14">
        <f>C2+4</f>
        <v>45982</v>
      </c>
      <c r="H3" s="14">
        <f>C2+5</f>
        <v>45983</v>
      </c>
      <c r="I3" s="14">
        <f>C2+6</f>
        <v>45984</v>
      </c>
      <c r="J3" s="12"/>
    </row>
    <row r="4" ht="22.5" customHeight="1">
      <c r="A4" s="15"/>
      <c r="B4" s="15"/>
      <c r="C4" s="16" t="str">
        <f t="shared" ref="C4:I4" si="1">upper(TEXT(C3, "DDDD"))</f>
        <v>MONDAY</v>
      </c>
      <c r="D4" s="16" t="str">
        <f t="shared" si="1"/>
        <v>TUESDAY</v>
      </c>
      <c r="E4" s="16" t="str">
        <f t="shared" si="1"/>
        <v>WEDNESDAY</v>
      </c>
      <c r="F4" s="16" t="str">
        <f t="shared" si="1"/>
        <v>THURSDAY</v>
      </c>
      <c r="G4" s="16" t="str">
        <f t="shared" si="1"/>
        <v>FRIDAY</v>
      </c>
      <c r="H4" s="16" t="str">
        <f t="shared" si="1"/>
        <v>SATURDAY</v>
      </c>
      <c r="I4" s="16" t="str">
        <f t="shared" si="1"/>
        <v>SUNDAY</v>
      </c>
      <c r="J4" s="15"/>
    </row>
    <row r="5" ht="22.5" customHeight="1">
      <c r="A5" s="17"/>
      <c r="B5" s="18" t="s">
        <v>3</v>
      </c>
      <c r="C5" s="19" t="s">
        <v>4</v>
      </c>
      <c r="D5" s="20"/>
      <c r="E5" s="20" t="s">
        <v>5</v>
      </c>
      <c r="F5" s="20"/>
      <c r="G5" s="21"/>
      <c r="H5" s="22"/>
      <c r="I5" s="23"/>
      <c r="J5" s="24"/>
    </row>
    <row r="6" ht="22.5" customHeight="1">
      <c r="A6" s="17"/>
      <c r="B6" s="25"/>
      <c r="C6" s="26" t="s">
        <v>6</v>
      </c>
      <c r="D6" s="27"/>
      <c r="E6" s="20"/>
      <c r="F6" s="28"/>
      <c r="G6" s="21"/>
      <c r="H6" s="22"/>
      <c r="I6" s="22"/>
      <c r="J6" s="24"/>
    </row>
    <row r="7" ht="22.5" customHeight="1">
      <c r="A7" s="17"/>
      <c r="B7" s="29"/>
      <c r="C7" s="27"/>
      <c r="D7" s="30"/>
      <c r="E7" s="20"/>
      <c r="F7" s="20"/>
      <c r="G7" s="21"/>
      <c r="H7" s="31"/>
      <c r="I7" s="22"/>
      <c r="J7" s="24"/>
    </row>
    <row r="8" ht="22.5" customHeight="1">
      <c r="A8" s="17"/>
      <c r="B8" s="18" t="s">
        <v>7</v>
      </c>
      <c r="C8" s="32"/>
      <c r="D8" s="33"/>
      <c r="E8" s="34"/>
      <c r="F8" s="34"/>
      <c r="G8" s="35"/>
      <c r="H8" s="31"/>
      <c r="I8" s="22"/>
      <c r="J8" s="24"/>
    </row>
    <row r="9" ht="22.5" customHeight="1">
      <c r="A9" s="17"/>
      <c r="B9" s="36"/>
      <c r="C9" s="20"/>
      <c r="D9" s="20"/>
      <c r="E9" s="30"/>
      <c r="F9" s="20"/>
      <c r="G9" s="35"/>
      <c r="H9" s="31"/>
      <c r="I9" s="23"/>
      <c r="J9" s="24"/>
    </row>
    <row r="10" ht="22.5" customHeight="1">
      <c r="A10" s="17"/>
      <c r="B10" s="18" t="s">
        <v>8</v>
      </c>
      <c r="C10" s="37" t="s">
        <v>9</v>
      </c>
      <c r="D10" s="38" t="s">
        <v>10</v>
      </c>
      <c r="E10" s="39" t="s">
        <v>11</v>
      </c>
      <c r="F10" s="40" t="s">
        <v>12</v>
      </c>
      <c r="G10" s="40" t="s">
        <v>13</v>
      </c>
      <c r="H10" s="41"/>
      <c r="I10" s="41"/>
      <c r="J10" s="42"/>
    </row>
    <row r="11" ht="22.5" customHeight="1">
      <c r="A11" s="17"/>
      <c r="B11" s="43"/>
      <c r="C11" s="30"/>
      <c r="D11" s="44"/>
      <c r="E11" s="45" t="s">
        <v>14</v>
      </c>
      <c r="F11" s="46" t="s">
        <v>15</v>
      </c>
      <c r="G11" s="47"/>
      <c r="H11" s="22"/>
      <c r="I11" s="23"/>
      <c r="J11" s="24"/>
    </row>
    <row r="12" ht="22.5" customHeight="1">
      <c r="A12" s="48"/>
      <c r="B12" s="49"/>
      <c r="C12" s="50"/>
      <c r="D12" s="45"/>
      <c r="E12" s="51" t="s">
        <v>16</v>
      </c>
      <c r="F12" s="26"/>
      <c r="G12" s="52"/>
      <c r="H12" s="22"/>
      <c r="I12" s="23"/>
      <c r="J12" s="53"/>
    </row>
    <row r="13" ht="22.5" customHeight="1">
      <c r="A13" s="48"/>
      <c r="B13" s="49"/>
      <c r="C13" s="50"/>
      <c r="D13" s="45"/>
      <c r="E13" s="54" t="s">
        <v>17</v>
      </c>
      <c r="F13" s="26"/>
      <c r="G13" s="52"/>
      <c r="H13" s="22"/>
      <c r="I13" s="23"/>
      <c r="J13" s="53"/>
    </row>
    <row r="14" ht="22.5" customHeight="1">
      <c r="A14" s="48"/>
      <c r="B14" s="18" t="s">
        <v>18</v>
      </c>
      <c r="C14" s="50"/>
      <c r="D14" s="45"/>
      <c r="E14" s="27"/>
      <c r="F14" s="26"/>
      <c r="G14" s="21"/>
      <c r="H14" s="22"/>
      <c r="I14" s="23"/>
      <c r="J14" s="53"/>
    </row>
    <row r="15" ht="22.5" customHeight="1">
      <c r="A15" s="17"/>
      <c r="B15" s="25"/>
      <c r="C15" s="20"/>
      <c r="D15" s="55"/>
      <c r="E15" s="20"/>
      <c r="F15" s="56"/>
      <c r="G15" s="21"/>
      <c r="H15" s="22"/>
      <c r="I15" s="22"/>
      <c r="J15" s="24"/>
    </row>
    <row r="16" ht="22.5" customHeight="1">
      <c r="A16" s="17"/>
      <c r="B16" s="18" t="s">
        <v>19</v>
      </c>
      <c r="C16" s="57" t="s">
        <v>20</v>
      </c>
      <c r="D16" s="58" t="s">
        <v>21</v>
      </c>
      <c r="E16" s="34"/>
      <c r="F16" s="59" t="s">
        <v>22</v>
      </c>
      <c r="H16" s="22"/>
      <c r="I16" s="22"/>
      <c r="J16" s="24"/>
    </row>
    <row r="17" ht="22.5" customHeight="1">
      <c r="A17" s="17"/>
      <c r="B17" s="60"/>
      <c r="C17" s="20"/>
      <c r="D17" s="55"/>
      <c r="E17" s="56"/>
      <c r="F17" s="28"/>
      <c r="G17" s="21"/>
      <c r="H17" s="22"/>
      <c r="I17" s="22"/>
      <c r="J17" s="24"/>
    </row>
    <row r="18" ht="22.5" customHeight="1">
      <c r="A18" s="17"/>
      <c r="B18" s="61" t="s">
        <v>23</v>
      </c>
      <c r="C18" s="20"/>
      <c r="D18" s="55"/>
      <c r="E18" s="56"/>
      <c r="F18" s="62" t="s">
        <v>24</v>
      </c>
      <c r="G18" s="21"/>
      <c r="H18" s="22"/>
      <c r="I18" s="22"/>
      <c r="J18" s="24"/>
    </row>
    <row r="19" ht="22.5" customHeight="1">
      <c r="A19" s="17"/>
      <c r="B19" s="63" t="s">
        <v>25</v>
      </c>
      <c r="C19" s="64" t="s">
        <v>26</v>
      </c>
      <c r="D19" s="65" t="s">
        <v>27</v>
      </c>
      <c r="E19" s="56"/>
      <c r="F19" s="28"/>
      <c r="G19" s="38" t="s">
        <v>28</v>
      </c>
      <c r="H19" s="22"/>
      <c r="I19" s="22"/>
      <c r="J19" s="24"/>
    </row>
    <row r="20" ht="22.5" customHeight="1">
      <c r="A20" s="17"/>
      <c r="B20" s="66"/>
      <c r="C20" s="53"/>
      <c r="D20" s="53"/>
      <c r="E20" s="53"/>
      <c r="F20" s="53"/>
      <c r="G20" s="53"/>
      <c r="H20" s="53"/>
      <c r="I20" s="53"/>
      <c r="J20" s="24"/>
    </row>
    <row r="21" ht="22.5" customHeight="1">
      <c r="A21" s="67"/>
      <c r="B21" s="68"/>
      <c r="C21" s="69"/>
      <c r="D21" s="69"/>
      <c r="E21" s="69"/>
      <c r="F21" s="69"/>
      <c r="G21" s="68"/>
      <c r="H21" s="69"/>
      <c r="I21" s="69"/>
      <c r="J21" s="67"/>
    </row>
    <row r="22" ht="22.5" customHeight="1">
      <c r="A22" s="70"/>
      <c r="B22" s="71"/>
      <c r="F22" s="72"/>
      <c r="G22" s="71"/>
      <c r="J22" s="70"/>
    </row>
    <row r="23" ht="22.5" customHeight="1">
      <c r="A23" s="70"/>
      <c r="B23" s="71"/>
      <c r="F23" s="72"/>
      <c r="G23" s="73"/>
      <c r="J23" s="70"/>
    </row>
    <row r="24" ht="22.5" customHeight="1">
      <c r="A24" s="70"/>
      <c r="B24" s="73"/>
      <c r="F24" s="72"/>
      <c r="G24" s="73"/>
      <c r="J24" s="70"/>
    </row>
    <row r="25" ht="22.5" customHeight="1">
      <c r="A25" s="70"/>
      <c r="B25" s="73"/>
      <c r="F25" s="72"/>
      <c r="G25" s="73"/>
      <c r="J25" s="70"/>
    </row>
    <row r="26" ht="22.5" customHeight="1">
      <c r="A26" s="70"/>
      <c r="B26" s="73"/>
      <c r="F26" s="72"/>
      <c r="G26" s="73"/>
      <c r="J26" s="70"/>
    </row>
    <row r="27" ht="22.5" customHeight="1">
      <c r="A27" s="70"/>
      <c r="B27" s="74"/>
      <c r="C27" s="70"/>
      <c r="D27" s="70"/>
      <c r="E27" s="70"/>
      <c r="F27" s="70"/>
      <c r="G27" s="70"/>
      <c r="H27" s="70"/>
      <c r="I27" s="70"/>
      <c r="J27" s="70"/>
    </row>
    <row r="28" ht="6.0" customHeight="1">
      <c r="A28" s="75"/>
      <c r="B28" s="76"/>
      <c r="C28" s="75"/>
      <c r="D28" s="75"/>
      <c r="E28" s="75"/>
      <c r="F28" s="75"/>
      <c r="G28" s="75"/>
      <c r="H28" s="75"/>
      <c r="I28" s="75"/>
      <c r="J28" s="75"/>
    </row>
  </sheetData>
  <mergeCells count="12">
    <mergeCell ref="B24:E24"/>
    <mergeCell ref="B25:E25"/>
    <mergeCell ref="B26:E26"/>
    <mergeCell ref="G25:I25"/>
    <mergeCell ref="G26:I26"/>
    <mergeCell ref="B1:D1"/>
    <mergeCell ref="E2:I2"/>
    <mergeCell ref="B22:E22"/>
    <mergeCell ref="G22:I22"/>
    <mergeCell ref="B23:E23"/>
    <mergeCell ref="G23:I23"/>
    <mergeCell ref="G24:I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8.88"/>
    <col customWidth="1" min="3" max="9" width="18.88"/>
    <col customWidth="1" min="10" max="10" width="2.63"/>
  </cols>
  <sheetData>
    <row r="1" ht="27.75" customHeight="1">
      <c r="A1" s="1"/>
      <c r="B1" s="2" t="s">
        <v>1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2</v>
      </c>
      <c r="C2" s="8">
        <v>45985.0</v>
      </c>
      <c r="D2" s="9"/>
      <c r="E2" s="10"/>
      <c r="J2" s="11"/>
    </row>
    <row r="3" ht="20.25" customHeight="1">
      <c r="A3" s="12"/>
      <c r="B3" s="12"/>
      <c r="C3" s="13">
        <f>C2</f>
        <v>45985</v>
      </c>
      <c r="D3" s="14">
        <f>C2+1</f>
        <v>45986</v>
      </c>
      <c r="E3" s="14">
        <f>C2+2</f>
        <v>45987</v>
      </c>
      <c r="F3" s="14">
        <f>C2+3</f>
        <v>45988</v>
      </c>
      <c r="G3" s="14">
        <f>C2+4</f>
        <v>45989</v>
      </c>
      <c r="H3" s="14">
        <f>C2+5</f>
        <v>45990</v>
      </c>
      <c r="I3" s="14">
        <f>C2+6</f>
        <v>45991</v>
      </c>
      <c r="J3" s="12"/>
    </row>
    <row r="4" ht="22.5" customHeight="1">
      <c r="A4" s="15"/>
      <c r="B4" s="15"/>
      <c r="C4" s="16" t="str">
        <f t="shared" ref="C4:I4" si="1">upper(TEXT(C3, "DDDD"))</f>
        <v>MONDAY</v>
      </c>
      <c r="D4" s="16" t="str">
        <f t="shared" si="1"/>
        <v>TUESDAY</v>
      </c>
      <c r="E4" s="16" t="str">
        <f t="shared" si="1"/>
        <v>WEDNESDAY</v>
      </c>
      <c r="F4" s="16" t="str">
        <f t="shared" si="1"/>
        <v>THURSDAY</v>
      </c>
      <c r="G4" s="16" t="str">
        <f t="shared" si="1"/>
        <v>FRIDAY</v>
      </c>
      <c r="H4" s="16" t="str">
        <f t="shared" si="1"/>
        <v>SATURDAY</v>
      </c>
      <c r="I4" s="16" t="str">
        <f t="shared" si="1"/>
        <v>SUNDAY</v>
      </c>
      <c r="J4" s="15"/>
    </row>
    <row r="5" ht="22.5" customHeight="1">
      <c r="A5" s="17"/>
      <c r="B5" s="18" t="s">
        <v>3</v>
      </c>
      <c r="C5" s="19"/>
      <c r="D5" s="20" t="s">
        <v>29</v>
      </c>
      <c r="E5" s="20"/>
      <c r="F5" s="20" t="s">
        <v>30</v>
      </c>
      <c r="G5" s="21" t="s">
        <v>30</v>
      </c>
      <c r="H5" s="22"/>
      <c r="I5" s="23"/>
      <c r="J5" s="24"/>
    </row>
    <row r="6" ht="22.5" customHeight="1">
      <c r="A6" s="17"/>
      <c r="B6" s="25"/>
      <c r="C6" s="77"/>
      <c r="D6" s="27"/>
      <c r="E6" s="20"/>
      <c r="F6" s="20" t="s">
        <v>30</v>
      </c>
      <c r="G6" s="21" t="s">
        <v>30</v>
      </c>
      <c r="H6" s="22"/>
      <c r="I6" s="22"/>
      <c r="J6" s="24"/>
    </row>
    <row r="7" ht="22.5" customHeight="1">
      <c r="A7" s="17"/>
      <c r="B7" s="29"/>
      <c r="C7" s="27"/>
      <c r="D7" s="30"/>
      <c r="E7" s="20"/>
      <c r="F7" s="20" t="s">
        <v>30</v>
      </c>
      <c r="G7" s="21" t="s">
        <v>30</v>
      </c>
      <c r="H7" s="31"/>
      <c r="I7" s="22"/>
      <c r="J7" s="24"/>
    </row>
    <row r="8" ht="22.5" customHeight="1">
      <c r="A8" s="17"/>
      <c r="B8" s="18" t="s">
        <v>7</v>
      </c>
      <c r="C8" s="32"/>
      <c r="D8" s="33"/>
      <c r="E8" s="34"/>
      <c r="F8" s="20" t="s">
        <v>30</v>
      </c>
      <c r="G8" s="21" t="s">
        <v>30</v>
      </c>
      <c r="H8" s="31"/>
      <c r="I8" s="22"/>
      <c r="J8" s="24"/>
    </row>
    <row r="9" ht="22.5" customHeight="1">
      <c r="A9" s="17"/>
      <c r="B9" s="36"/>
      <c r="C9" s="20"/>
      <c r="D9" s="20"/>
      <c r="E9" s="30"/>
      <c r="F9" s="20" t="s">
        <v>30</v>
      </c>
      <c r="G9" s="21" t="s">
        <v>30</v>
      </c>
      <c r="H9" s="31"/>
      <c r="I9" s="23"/>
      <c r="J9" s="24"/>
    </row>
    <row r="10" ht="22.5" customHeight="1">
      <c r="A10" s="17"/>
      <c r="B10" s="18" t="s">
        <v>8</v>
      </c>
      <c r="C10" s="78" t="s">
        <v>31</v>
      </c>
      <c r="D10" s="78" t="s">
        <v>32</v>
      </c>
      <c r="E10" s="26"/>
      <c r="F10" s="20" t="s">
        <v>30</v>
      </c>
      <c r="G10" s="21" t="s">
        <v>30</v>
      </c>
      <c r="H10" s="41"/>
      <c r="I10" s="41"/>
      <c r="J10" s="42"/>
    </row>
    <row r="11" ht="22.5" customHeight="1">
      <c r="A11" s="17"/>
      <c r="B11" s="43"/>
      <c r="C11" s="30" t="s">
        <v>33</v>
      </c>
      <c r="D11" s="44"/>
      <c r="E11" s="45"/>
      <c r="F11" s="20" t="s">
        <v>30</v>
      </c>
      <c r="G11" s="21" t="s">
        <v>30</v>
      </c>
      <c r="H11" s="22"/>
      <c r="I11" s="23"/>
      <c r="J11" s="24"/>
    </row>
    <row r="12" ht="22.5" customHeight="1">
      <c r="A12" s="48"/>
      <c r="B12" s="18" t="s">
        <v>18</v>
      </c>
      <c r="C12" s="62" t="s">
        <v>34</v>
      </c>
      <c r="D12" s="45"/>
      <c r="E12" s="27"/>
      <c r="F12" s="20" t="s">
        <v>30</v>
      </c>
      <c r="G12" s="21" t="s">
        <v>30</v>
      </c>
      <c r="H12" s="22"/>
      <c r="I12" s="23"/>
      <c r="J12" s="53"/>
    </row>
    <row r="13" ht="22.5" customHeight="1">
      <c r="A13" s="17"/>
      <c r="B13" s="25"/>
      <c r="C13" s="20"/>
      <c r="D13" s="55"/>
      <c r="E13" s="20"/>
      <c r="F13" s="20" t="s">
        <v>30</v>
      </c>
      <c r="G13" s="21" t="s">
        <v>30</v>
      </c>
      <c r="H13" s="22"/>
      <c r="I13" s="22"/>
      <c r="J13" s="24"/>
    </row>
    <row r="14" ht="22.5" customHeight="1">
      <c r="A14" s="17"/>
      <c r="B14" s="18" t="s">
        <v>19</v>
      </c>
      <c r="C14" s="79"/>
      <c r="D14" s="32"/>
      <c r="E14" s="59" t="s">
        <v>35</v>
      </c>
      <c r="F14" s="20" t="s">
        <v>30</v>
      </c>
      <c r="G14" s="21" t="s">
        <v>30</v>
      </c>
      <c r="H14" s="22"/>
      <c r="I14" s="22"/>
      <c r="J14" s="24"/>
    </row>
    <row r="15" ht="22.5" customHeight="1">
      <c r="A15" s="17"/>
      <c r="B15" s="60"/>
      <c r="C15" s="20"/>
      <c r="D15" s="55"/>
      <c r="E15" s="56"/>
      <c r="F15" s="20" t="s">
        <v>30</v>
      </c>
      <c r="G15" s="21" t="s">
        <v>30</v>
      </c>
      <c r="H15" s="22"/>
      <c r="I15" s="22"/>
      <c r="J15" s="24"/>
    </row>
    <row r="16" ht="22.5" customHeight="1">
      <c r="A16" s="17"/>
      <c r="B16" s="63" t="s">
        <v>36</v>
      </c>
      <c r="C16" s="20"/>
      <c r="D16" s="55"/>
      <c r="E16" s="56"/>
      <c r="F16" s="20" t="s">
        <v>30</v>
      </c>
      <c r="G16" s="21" t="s">
        <v>30</v>
      </c>
      <c r="H16" s="22"/>
      <c r="I16" s="22"/>
      <c r="J16" s="24"/>
    </row>
    <row r="17" ht="22.5" customHeight="1">
      <c r="A17" s="17"/>
      <c r="B17" s="61"/>
      <c r="C17" s="20"/>
      <c r="D17" s="55"/>
      <c r="E17" s="56"/>
      <c r="F17" s="20" t="s">
        <v>30</v>
      </c>
      <c r="G17" s="21" t="s">
        <v>30</v>
      </c>
      <c r="H17" s="22"/>
      <c r="I17" s="22"/>
      <c r="J17" s="24"/>
    </row>
    <row r="18" ht="22.5" customHeight="1">
      <c r="A18" s="17"/>
      <c r="B18" s="63" t="s">
        <v>37</v>
      </c>
      <c r="C18" s="80" t="s">
        <v>38</v>
      </c>
      <c r="D18" s="81" t="s">
        <v>39</v>
      </c>
      <c r="E18" s="82" t="s">
        <v>40</v>
      </c>
      <c r="F18" s="20" t="s">
        <v>30</v>
      </c>
      <c r="H18" s="22"/>
      <c r="J18" s="24"/>
    </row>
    <row r="19" ht="22.5" customHeight="1">
      <c r="A19" s="17"/>
      <c r="B19" s="66"/>
      <c r="C19" s="53"/>
      <c r="D19" s="53"/>
      <c r="E19" s="53"/>
      <c r="F19" s="53"/>
      <c r="G19" s="53"/>
      <c r="H19" s="53"/>
      <c r="I19" s="53"/>
      <c r="J19" s="24"/>
    </row>
    <row r="20" ht="22.5" customHeight="1">
      <c r="A20" s="67"/>
      <c r="B20" s="68"/>
      <c r="C20" s="69"/>
      <c r="D20" s="69"/>
      <c r="E20" s="69"/>
      <c r="F20" s="69"/>
      <c r="G20" s="68"/>
      <c r="H20" s="69"/>
      <c r="I20" s="69"/>
      <c r="J20" s="67"/>
    </row>
    <row r="21" ht="22.5" customHeight="1">
      <c r="A21" s="70"/>
      <c r="B21" s="71"/>
      <c r="F21" s="72"/>
      <c r="G21" s="71"/>
      <c r="J21" s="70"/>
    </row>
    <row r="22" ht="22.5" customHeight="1">
      <c r="A22" s="70"/>
      <c r="B22" s="71"/>
      <c r="F22" s="72"/>
      <c r="G22" s="73"/>
      <c r="J22" s="70"/>
    </row>
    <row r="23" ht="22.5" customHeight="1">
      <c r="A23" s="70"/>
      <c r="B23" s="73"/>
      <c r="F23" s="72"/>
      <c r="G23" s="73"/>
      <c r="J23" s="70"/>
    </row>
    <row r="24" ht="22.5" customHeight="1">
      <c r="A24" s="70"/>
      <c r="B24" s="73"/>
      <c r="F24" s="72"/>
      <c r="G24" s="73"/>
      <c r="J24" s="70"/>
    </row>
    <row r="25" ht="22.5" customHeight="1">
      <c r="A25" s="70"/>
      <c r="B25" s="73"/>
      <c r="F25" s="72"/>
      <c r="G25" s="73"/>
      <c r="J25" s="70"/>
    </row>
    <row r="26" ht="22.5" customHeight="1">
      <c r="A26" s="70"/>
      <c r="B26" s="74"/>
      <c r="C26" s="70"/>
      <c r="D26" s="70"/>
      <c r="E26" s="70"/>
      <c r="F26" s="70"/>
      <c r="G26" s="70"/>
      <c r="H26" s="70"/>
      <c r="I26" s="70"/>
      <c r="J26" s="70"/>
    </row>
    <row r="27" ht="6.0" customHeight="1">
      <c r="A27" s="75"/>
      <c r="B27" s="76"/>
      <c r="C27" s="75"/>
      <c r="D27" s="75"/>
      <c r="E27" s="75"/>
      <c r="F27" s="75"/>
      <c r="G27" s="75"/>
      <c r="H27" s="75"/>
      <c r="I27" s="75"/>
      <c r="J27" s="75"/>
    </row>
  </sheetData>
  <mergeCells count="12">
    <mergeCell ref="B23:E23"/>
    <mergeCell ref="B24:E24"/>
    <mergeCell ref="B25:E25"/>
    <mergeCell ref="G24:I24"/>
    <mergeCell ref="G25:I25"/>
    <mergeCell ref="B1:D1"/>
    <mergeCell ref="E2:I2"/>
    <mergeCell ref="B21:E21"/>
    <mergeCell ref="G21:I21"/>
    <mergeCell ref="B22:E22"/>
    <mergeCell ref="G22:I22"/>
    <mergeCell ref="G23:I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8.88"/>
    <col customWidth="1" min="3" max="9" width="18.88"/>
    <col customWidth="1" min="10" max="10" width="2.63"/>
  </cols>
  <sheetData>
    <row r="1" ht="27.75" customHeight="1">
      <c r="A1" s="1"/>
      <c r="B1" s="2" t="s">
        <v>1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2</v>
      </c>
      <c r="C2" s="8">
        <v>45992.0</v>
      </c>
      <c r="D2" s="9"/>
      <c r="E2" s="10"/>
      <c r="J2" s="11"/>
    </row>
    <row r="3" ht="20.25" customHeight="1">
      <c r="A3" s="12"/>
      <c r="B3" s="12"/>
      <c r="C3" s="13">
        <f>C2</f>
        <v>45992</v>
      </c>
      <c r="D3" s="14">
        <f>C2+1</f>
        <v>45993</v>
      </c>
      <c r="E3" s="14">
        <f>C2+2</f>
        <v>45994</v>
      </c>
      <c r="F3" s="14">
        <f>C2+3</f>
        <v>45995</v>
      </c>
      <c r="G3" s="14">
        <f>C2+4</f>
        <v>45996</v>
      </c>
      <c r="H3" s="14">
        <f>C2+5</f>
        <v>45997</v>
      </c>
      <c r="I3" s="14">
        <f>C2+6</f>
        <v>45998</v>
      </c>
      <c r="J3" s="12"/>
    </row>
    <row r="4" ht="22.5" customHeight="1">
      <c r="A4" s="15"/>
      <c r="B4" s="15"/>
      <c r="C4" s="16" t="str">
        <f t="shared" ref="C4:I4" si="1">upper(TEXT(C3, "DDDD"))</f>
        <v>MONDAY</v>
      </c>
      <c r="D4" s="16" t="str">
        <f t="shared" si="1"/>
        <v>TUESDAY</v>
      </c>
      <c r="E4" s="16" t="str">
        <f t="shared" si="1"/>
        <v>WEDNESDAY</v>
      </c>
      <c r="F4" s="16" t="str">
        <f t="shared" si="1"/>
        <v>THURSDAY</v>
      </c>
      <c r="G4" s="16" t="str">
        <f t="shared" si="1"/>
        <v>FRIDAY</v>
      </c>
      <c r="H4" s="16" t="str">
        <f t="shared" si="1"/>
        <v>SATURDAY</v>
      </c>
      <c r="I4" s="16" t="str">
        <f t="shared" si="1"/>
        <v>SUNDAY</v>
      </c>
      <c r="J4" s="15"/>
    </row>
    <row r="5" ht="22.5" customHeight="1">
      <c r="A5" s="17"/>
      <c r="B5" s="18" t="s">
        <v>3</v>
      </c>
      <c r="C5" s="19"/>
      <c r="D5" s="20"/>
      <c r="E5" s="20"/>
      <c r="F5" s="20"/>
      <c r="G5" s="21"/>
      <c r="H5" s="22"/>
      <c r="I5" s="23"/>
      <c r="J5" s="24"/>
    </row>
    <row r="6" ht="22.5" customHeight="1">
      <c r="A6" s="17"/>
      <c r="B6" s="25"/>
      <c r="C6" s="77"/>
      <c r="D6" s="27"/>
      <c r="E6" s="20"/>
      <c r="F6" s="28"/>
      <c r="G6" s="21"/>
      <c r="H6" s="22"/>
      <c r="I6" s="22"/>
      <c r="J6" s="24"/>
    </row>
    <row r="7" ht="22.5" customHeight="1">
      <c r="A7" s="17"/>
      <c r="B7" s="29"/>
      <c r="C7" s="27"/>
      <c r="D7" s="30"/>
      <c r="E7" s="20"/>
      <c r="F7" s="20"/>
      <c r="G7" s="21"/>
      <c r="H7" s="31"/>
      <c r="I7" s="22"/>
      <c r="J7" s="24"/>
    </row>
    <row r="8" ht="22.5" customHeight="1">
      <c r="A8" s="17"/>
      <c r="B8" s="18" t="s">
        <v>7</v>
      </c>
      <c r="C8" s="32"/>
      <c r="D8" s="33"/>
      <c r="E8" s="34"/>
      <c r="F8" s="34"/>
      <c r="G8" s="35"/>
      <c r="H8" s="31"/>
      <c r="I8" s="22"/>
      <c r="J8" s="24"/>
    </row>
    <row r="9" ht="22.5" customHeight="1">
      <c r="A9" s="17"/>
      <c r="B9" s="36"/>
      <c r="C9" s="20"/>
      <c r="D9" s="20"/>
      <c r="E9" s="30"/>
      <c r="F9" s="20"/>
      <c r="G9" s="35"/>
      <c r="H9" s="31"/>
      <c r="I9" s="23"/>
      <c r="J9" s="24"/>
    </row>
    <row r="10" ht="22.5" customHeight="1">
      <c r="A10" s="17"/>
      <c r="B10" s="18" t="s">
        <v>8</v>
      </c>
      <c r="C10" s="51" t="s">
        <v>41</v>
      </c>
      <c r="D10" s="26"/>
      <c r="E10" s="26"/>
      <c r="F10" s="34"/>
      <c r="G10" s="34"/>
      <c r="H10" s="41"/>
      <c r="I10" s="41"/>
      <c r="J10" s="42"/>
    </row>
    <row r="11" ht="22.5" customHeight="1">
      <c r="A11" s="17"/>
      <c r="B11" s="43"/>
      <c r="C11" s="30"/>
      <c r="D11" s="44"/>
      <c r="E11" s="45"/>
      <c r="F11" s="83"/>
      <c r="G11" s="47"/>
      <c r="H11" s="22"/>
      <c r="I11" s="23"/>
      <c r="J11" s="24"/>
    </row>
    <row r="12" ht="22.5" customHeight="1">
      <c r="A12" s="48"/>
      <c r="B12" s="18" t="s">
        <v>18</v>
      </c>
      <c r="C12" s="50"/>
      <c r="D12" s="45"/>
      <c r="E12" s="27"/>
      <c r="F12" s="26"/>
      <c r="G12" s="21"/>
      <c r="H12" s="22"/>
      <c r="I12" s="23"/>
      <c r="J12" s="53"/>
    </row>
    <row r="13" ht="22.5" customHeight="1">
      <c r="A13" s="17"/>
      <c r="B13" s="25"/>
      <c r="C13" s="20"/>
      <c r="D13" s="55"/>
      <c r="E13" s="20"/>
      <c r="F13" s="56"/>
      <c r="G13" s="21"/>
      <c r="H13" s="22"/>
      <c r="I13" s="22"/>
      <c r="J13" s="24"/>
    </row>
    <row r="14" ht="22.5" customHeight="1">
      <c r="A14" s="17"/>
      <c r="B14" s="18" t="s">
        <v>19</v>
      </c>
      <c r="C14" s="79"/>
      <c r="D14" s="32"/>
      <c r="E14" s="34"/>
      <c r="F14" s="32"/>
      <c r="G14" s="84"/>
      <c r="H14" s="22"/>
      <c r="I14" s="22"/>
      <c r="J14" s="24"/>
    </row>
    <row r="15" ht="22.5" customHeight="1">
      <c r="A15" s="17"/>
      <c r="B15" s="60"/>
      <c r="C15" s="20"/>
      <c r="D15" s="55"/>
      <c r="E15" s="56"/>
      <c r="F15" s="28"/>
      <c r="G15" s="21"/>
      <c r="H15" s="22"/>
      <c r="I15" s="22"/>
      <c r="J15" s="24"/>
    </row>
    <row r="16" ht="22.5" customHeight="1">
      <c r="A16" s="17"/>
      <c r="B16" s="63" t="s">
        <v>42</v>
      </c>
      <c r="C16" s="20"/>
      <c r="D16" s="55"/>
      <c r="E16" s="56"/>
      <c r="F16" s="28"/>
      <c r="G16" s="21"/>
      <c r="H16" s="22"/>
      <c r="I16" s="22"/>
      <c r="J16" s="24"/>
    </row>
    <row r="17" ht="22.5" customHeight="1">
      <c r="A17" s="17"/>
      <c r="B17" s="61"/>
      <c r="C17" s="20"/>
      <c r="D17" s="55"/>
      <c r="E17" s="56"/>
      <c r="F17" s="28"/>
      <c r="G17" s="21"/>
      <c r="H17" s="22"/>
      <c r="I17" s="22"/>
      <c r="J17" s="24"/>
    </row>
    <row r="18" ht="22.5" customHeight="1">
      <c r="A18" s="17"/>
      <c r="B18" s="63" t="s">
        <v>43</v>
      </c>
      <c r="C18" s="39" t="s">
        <v>44</v>
      </c>
      <c r="D18" s="55"/>
      <c r="E18" s="39" t="s">
        <v>45</v>
      </c>
      <c r="F18" s="28" t="s">
        <v>46</v>
      </c>
      <c r="G18" s="85" t="s">
        <v>47</v>
      </c>
      <c r="H18" s="22"/>
      <c r="I18" s="22"/>
      <c r="J18" s="24"/>
    </row>
    <row r="19" ht="22.5" customHeight="1">
      <c r="A19" s="17"/>
      <c r="B19" s="66"/>
      <c r="C19" s="53"/>
      <c r="D19" s="53"/>
      <c r="E19" s="53"/>
      <c r="F19" s="53"/>
      <c r="G19" s="53"/>
      <c r="H19" s="53"/>
      <c r="I19" s="53"/>
      <c r="J19" s="24"/>
    </row>
    <row r="20" ht="22.5" customHeight="1">
      <c r="A20" s="67"/>
      <c r="B20" s="68"/>
      <c r="C20" s="69"/>
      <c r="D20" s="69"/>
      <c r="E20" s="69"/>
      <c r="F20" s="69"/>
      <c r="G20" s="68"/>
      <c r="H20" s="69"/>
      <c r="I20" s="69"/>
      <c r="J20" s="67"/>
    </row>
    <row r="21" ht="22.5" customHeight="1">
      <c r="A21" s="70"/>
      <c r="B21" s="71"/>
      <c r="F21" s="72"/>
      <c r="G21" s="71"/>
      <c r="J21" s="70"/>
    </row>
    <row r="22" ht="22.5" customHeight="1">
      <c r="A22" s="70"/>
      <c r="B22" s="71"/>
      <c r="F22" s="72"/>
      <c r="G22" s="73"/>
      <c r="J22" s="70"/>
    </row>
    <row r="23" ht="22.5" customHeight="1">
      <c r="A23" s="70"/>
      <c r="B23" s="73"/>
      <c r="F23" s="72"/>
      <c r="G23" s="73"/>
      <c r="J23" s="70"/>
    </row>
    <row r="24" ht="22.5" customHeight="1">
      <c r="A24" s="70"/>
      <c r="B24" s="73"/>
      <c r="F24" s="72"/>
      <c r="G24" s="73"/>
      <c r="J24" s="70"/>
    </row>
    <row r="25" ht="22.5" customHeight="1">
      <c r="A25" s="70"/>
      <c r="B25" s="73"/>
      <c r="F25" s="72"/>
      <c r="G25" s="73"/>
      <c r="J25" s="70"/>
    </row>
    <row r="26" ht="22.5" customHeight="1">
      <c r="A26" s="70"/>
      <c r="B26" s="74"/>
      <c r="C26" s="70"/>
      <c r="D26" s="70"/>
      <c r="E26" s="70"/>
      <c r="F26" s="70"/>
      <c r="G26" s="70"/>
      <c r="H26" s="70"/>
      <c r="I26" s="70"/>
      <c r="J26" s="70"/>
    </row>
    <row r="27" ht="6.0" customHeight="1">
      <c r="A27" s="75"/>
      <c r="B27" s="76"/>
      <c r="C27" s="75"/>
      <c r="D27" s="75"/>
      <c r="E27" s="75"/>
      <c r="F27" s="75"/>
      <c r="G27" s="75"/>
      <c r="H27" s="75"/>
      <c r="I27" s="75"/>
      <c r="J27" s="75"/>
    </row>
  </sheetData>
  <mergeCells count="12">
    <mergeCell ref="B23:E23"/>
    <mergeCell ref="B24:E24"/>
    <mergeCell ref="B25:E25"/>
    <mergeCell ref="G24:I24"/>
    <mergeCell ref="G25:I25"/>
    <mergeCell ref="B1:D1"/>
    <mergeCell ref="E2:I2"/>
    <mergeCell ref="B21:E21"/>
    <mergeCell ref="G21:I21"/>
    <mergeCell ref="B22:E22"/>
    <mergeCell ref="G22:I22"/>
    <mergeCell ref="G23:I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8.88"/>
    <col customWidth="1" min="3" max="9" width="18.88"/>
    <col customWidth="1" min="10" max="10" width="2.63"/>
  </cols>
  <sheetData>
    <row r="1" ht="27.75" customHeight="1">
      <c r="A1" s="1"/>
      <c r="B1" s="2" t="s">
        <v>1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2</v>
      </c>
      <c r="C2" s="8">
        <v>45999.0</v>
      </c>
      <c r="D2" s="9"/>
      <c r="E2" s="10"/>
      <c r="J2" s="11"/>
    </row>
    <row r="3" ht="20.25" customHeight="1">
      <c r="A3" s="12"/>
      <c r="B3" s="12"/>
      <c r="C3" s="13">
        <f>C2</f>
        <v>45999</v>
      </c>
      <c r="D3" s="14">
        <f>C2+1</f>
        <v>46000</v>
      </c>
      <c r="E3" s="14">
        <f>C2+2</f>
        <v>46001</v>
      </c>
      <c r="F3" s="14">
        <f>C2+3</f>
        <v>46002</v>
      </c>
      <c r="G3" s="14">
        <f>C2+4</f>
        <v>46003</v>
      </c>
      <c r="H3" s="14">
        <f>C2+5</f>
        <v>46004</v>
      </c>
      <c r="I3" s="14">
        <f>C2+6</f>
        <v>46005</v>
      </c>
      <c r="J3" s="12"/>
    </row>
    <row r="4" ht="22.5" customHeight="1">
      <c r="A4" s="15"/>
      <c r="B4" s="15"/>
      <c r="C4" s="16" t="str">
        <f t="shared" ref="C4:I4" si="1">upper(TEXT(C3, "DDDD"))</f>
        <v>MONDAY</v>
      </c>
      <c r="D4" s="16" t="str">
        <f t="shared" si="1"/>
        <v>TUESDAY</v>
      </c>
      <c r="E4" s="16" t="str">
        <f t="shared" si="1"/>
        <v>WEDNESDAY</v>
      </c>
      <c r="F4" s="16" t="str">
        <f t="shared" si="1"/>
        <v>THURSDAY</v>
      </c>
      <c r="G4" s="16" t="str">
        <f t="shared" si="1"/>
        <v>FRIDAY</v>
      </c>
      <c r="H4" s="16" t="str">
        <f t="shared" si="1"/>
        <v>SATURDAY</v>
      </c>
      <c r="I4" s="16" t="str">
        <f t="shared" si="1"/>
        <v>SUNDAY</v>
      </c>
      <c r="J4" s="15"/>
    </row>
    <row r="5" ht="22.5" customHeight="1">
      <c r="A5" s="17"/>
      <c r="B5" s="18" t="s">
        <v>3</v>
      </c>
      <c r="C5" s="19"/>
      <c r="D5" s="20"/>
      <c r="E5" s="20"/>
      <c r="F5" s="20"/>
      <c r="G5" s="21"/>
      <c r="H5" s="22"/>
      <c r="I5" s="23"/>
      <c r="J5" s="24"/>
    </row>
    <row r="6" ht="22.5" customHeight="1">
      <c r="A6" s="17"/>
      <c r="B6" s="25"/>
      <c r="C6" s="77"/>
      <c r="D6" s="27"/>
      <c r="E6" s="20"/>
      <c r="F6" s="28"/>
      <c r="G6" s="21"/>
      <c r="H6" s="22"/>
      <c r="I6" s="22"/>
      <c r="J6" s="24"/>
    </row>
    <row r="7" ht="22.5" customHeight="1">
      <c r="A7" s="17"/>
      <c r="B7" s="29"/>
      <c r="C7" s="27"/>
      <c r="D7" s="30"/>
      <c r="E7" s="20"/>
      <c r="F7" s="20"/>
      <c r="G7" s="21"/>
      <c r="H7" s="31"/>
      <c r="I7" s="22"/>
      <c r="J7" s="24"/>
    </row>
    <row r="8" ht="22.5" customHeight="1">
      <c r="A8" s="17"/>
      <c r="B8" s="18" t="s">
        <v>7</v>
      </c>
      <c r="C8" s="32"/>
      <c r="D8" s="33"/>
      <c r="E8" s="34"/>
      <c r="F8" s="34"/>
      <c r="G8" s="35"/>
      <c r="H8" s="31"/>
      <c r="I8" s="22"/>
      <c r="J8" s="24"/>
    </row>
    <row r="9" ht="22.5" customHeight="1">
      <c r="A9" s="17"/>
      <c r="B9" s="36"/>
      <c r="C9" s="20"/>
      <c r="D9" s="20"/>
      <c r="E9" s="30"/>
      <c r="F9" s="20"/>
      <c r="G9" s="35"/>
      <c r="H9" s="31"/>
      <c r="I9" s="23"/>
      <c r="J9" s="24"/>
    </row>
    <row r="10" ht="22.5" customHeight="1">
      <c r="A10" s="17"/>
      <c r="B10" s="18" t="s">
        <v>8</v>
      </c>
      <c r="C10" s="86"/>
      <c r="D10" s="33" t="s">
        <v>48</v>
      </c>
      <c r="E10" s="26"/>
      <c r="F10" s="34"/>
      <c r="G10" s="34"/>
      <c r="H10" s="41"/>
      <c r="I10" s="41"/>
      <c r="J10" s="42"/>
    </row>
    <row r="11" ht="22.5" customHeight="1">
      <c r="A11" s="17"/>
      <c r="B11" s="43"/>
      <c r="C11" s="30"/>
      <c r="D11" s="44"/>
      <c r="E11" s="45"/>
      <c r="F11" s="83"/>
      <c r="G11" s="47"/>
      <c r="H11" s="22"/>
      <c r="I11" s="23"/>
      <c r="J11" s="24"/>
    </row>
    <row r="12" ht="22.5" customHeight="1">
      <c r="A12" s="48"/>
      <c r="B12" s="18" t="s">
        <v>18</v>
      </c>
      <c r="C12" s="50"/>
      <c r="D12" s="45"/>
      <c r="E12" s="27"/>
      <c r="F12" s="26"/>
      <c r="G12" s="21"/>
      <c r="H12" s="22"/>
      <c r="I12" s="23"/>
      <c r="J12" s="53"/>
    </row>
    <row r="13" ht="22.5" customHeight="1">
      <c r="A13" s="17"/>
      <c r="B13" s="25"/>
      <c r="C13" s="20"/>
      <c r="D13" s="55"/>
      <c r="E13" s="20"/>
      <c r="F13" s="56"/>
      <c r="G13" s="21"/>
      <c r="H13" s="22"/>
      <c r="I13" s="22"/>
      <c r="J13" s="24"/>
    </row>
    <row r="14" ht="22.5" customHeight="1">
      <c r="A14" s="17"/>
      <c r="B14" s="18" t="s">
        <v>19</v>
      </c>
      <c r="C14" s="79"/>
      <c r="D14" s="32"/>
      <c r="E14" s="34"/>
      <c r="F14" s="32"/>
      <c r="G14" s="84"/>
      <c r="H14" s="22"/>
      <c r="I14" s="22"/>
      <c r="J14" s="24"/>
    </row>
    <row r="15" ht="22.5" customHeight="1">
      <c r="A15" s="17"/>
      <c r="B15" s="60"/>
      <c r="C15" s="20"/>
      <c r="D15" s="55"/>
      <c r="E15" s="56"/>
      <c r="F15" s="28"/>
      <c r="G15" s="21"/>
      <c r="H15" s="22"/>
      <c r="I15" s="22"/>
      <c r="J15" s="24"/>
    </row>
    <row r="16" ht="22.5" customHeight="1">
      <c r="A16" s="17"/>
      <c r="B16" s="63" t="s">
        <v>49</v>
      </c>
      <c r="C16" s="20"/>
      <c r="D16" s="55"/>
      <c r="E16" s="56"/>
      <c r="F16" s="28"/>
      <c r="G16" s="21"/>
      <c r="H16" s="22"/>
      <c r="I16" s="22"/>
      <c r="J16" s="24"/>
    </row>
    <row r="17" ht="22.5" customHeight="1">
      <c r="A17" s="17"/>
      <c r="B17" s="61"/>
      <c r="C17" s="20"/>
      <c r="D17" s="55"/>
      <c r="E17" s="56"/>
      <c r="F17" s="28"/>
      <c r="G17" s="21"/>
      <c r="H17" s="22"/>
      <c r="I17" s="22"/>
      <c r="J17" s="24"/>
    </row>
    <row r="18" ht="22.5" customHeight="1">
      <c r="A18" s="17"/>
      <c r="B18" s="63" t="s">
        <v>50</v>
      </c>
      <c r="C18" s="20"/>
      <c r="D18" s="55"/>
      <c r="E18" s="56"/>
      <c r="F18" s="28"/>
      <c r="G18" s="21"/>
      <c r="H18" s="22"/>
      <c r="I18" s="22"/>
      <c r="J18" s="24"/>
    </row>
    <row r="19" ht="22.5" customHeight="1">
      <c r="A19" s="17"/>
      <c r="B19" s="66"/>
      <c r="C19" s="53"/>
      <c r="D19" s="53"/>
      <c r="E19" s="53"/>
      <c r="F19" s="53"/>
      <c r="G19" s="53"/>
      <c r="H19" s="53"/>
      <c r="I19" s="53"/>
      <c r="J19" s="24"/>
    </row>
    <row r="20" ht="22.5" customHeight="1">
      <c r="A20" s="67"/>
      <c r="B20" s="68"/>
      <c r="C20" s="69"/>
      <c r="D20" s="69"/>
      <c r="E20" s="69"/>
      <c r="F20" s="69"/>
      <c r="G20" s="68"/>
      <c r="H20" s="69"/>
      <c r="I20" s="69"/>
      <c r="J20" s="67"/>
    </row>
    <row r="21" ht="22.5" customHeight="1">
      <c r="A21" s="70"/>
      <c r="B21" s="71"/>
      <c r="F21" s="72"/>
      <c r="G21" s="71"/>
      <c r="J21" s="70"/>
    </row>
    <row r="22" ht="22.5" customHeight="1">
      <c r="A22" s="70"/>
      <c r="B22" s="71"/>
      <c r="F22" s="72"/>
      <c r="G22" s="73"/>
      <c r="J22" s="70"/>
    </row>
    <row r="23" ht="22.5" customHeight="1">
      <c r="A23" s="70"/>
      <c r="B23" s="73"/>
      <c r="F23" s="72"/>
      <c r="G23" s="73"/>
      <c r="J23" s="70"/>
    </row>
    <row r="24" ht="22.5" customHeight="1">
      <c r="A24" s="70"/>
      <c r="B24" s="73"/>
      <c r="F24" s="72"/>
      <c r="G24" s="73"/>
      <c r="J24" s="70"/>
    </row>
    <row r="25" ht="22.5" customHeight="1">
      <c r="A25" s="70"/>
      <c r="B25" s="73"/>
      <c r="F25" s="72"/>
      <c r="G25" s="73"/>
      <c r="J25" s="70"/>
    </row>
    <row r="26" ht="22.5" customHeight="1">
      <c r="A26" s="70"/>
      <c r="B26" s="74"/>
      <c r="C26" s="70"/>
      <c r="D26" s="70"/>
      <c r="E26" s="70"/>
      <c r="F26" s="70"/>
      <c r="G26" s="70"/>
      <c r="H26" s="70"/>
      <c r="I26" s="70"/>
      <c r="J26" s="70"/>
    </row>
    <row r="27" ht="6.0" customHeight="1">
      <c r="A27" s="75"/>
      <c r="B27" s="76"/>
      <c r="C27" s="75"/>
      <c r="D27" s="75"/>
      <c r="E27" s="75"/>
      <c r="F27" s="75"/>
      <c r="G27" s="75"/>
      <c r="H27" s="75"/>
      <c r="I27" s="75"/>
      <c r="J27" s="75"/>
    </row>
  </sheetData>
  <mergeCells count="12">
    <mergeCell ref="B23:E23"/>
    <mergeCell ref="B24:E24"/>
    <mergeCell ref="B25:E25"/>
    <mergeCell ref="G24:I24"/>
    <mergeCell ref="G25:I25"/>
    <mergeCell ref="B1:D1"/>
    <mergeCell ref="E2:I2"/>
    <mergeCell ref="B21:E21"/>
    <mergeCell ref="G21:I21"/>
    <mergeCell ref="B22:E22"/>
    <mergeCell ref="G22:I22"/>
    <mergeCell ref="G23:I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